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СКЛАД\Склад\Заказы бухер\"/>
    </mc:Choice>
  </mc:AlternateContent>
  <xr:revisionPtr revIDLastSave="0" documentId="13_ncr:1_{BE3C8257-CF09-47DE-AA19-39ECD54075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D31" i="1"/>
  <c r="D27" i="1"/>
  <c r="D10" i="1"/>
  <c r="D37" i="1"/>
  <c r="D18" i="1"/>
  <c r="D16" i="1"/>
  <c r="D30" i="1"/>
  <c r="D39" i="1"/>
  <c r="D14" i="1"/>
  <c r="D13" i="1"/>
  <c r="D40" i="1"/>
  <c r="D35" i="1"/>
  <c r="D21" i="1"/>
  <c r="D6" i="1"/>
  <c r="D47" i="1"/>
  <c r="D48" i="1"/>
  <c r="D59" i="1"/>
  <c r="D58" i="1"/>
  <c r="D57" i="1"/>
  <c r="D56" i="1"/>
  <c r="D55" i="1"/>
  <c r="D54" i="1"/>
  <c r="D53" i="1"/>
  <c r="D52" i="1"/>
  <c r="D51" i="1"/>
  <c r="D50" i="1"/>
  <c r="D49" i="1"/>
  <c r="D45" i="1"/>
  <c r="D44" i="1"/>
  <c r="D43" i="1"/>
  <c r="D42" i="1"/>
  <c r="D41" i="1"/>
  <c r="D38" i="1"/>
  <c r="D36" i="1"/>
  <c r="D34" i="1"/>
  <c r="D33" i="1"/>
  <c r="D32" i="1"/>
  <c r="D29" i="1"/>
  <c r="D28" i="1"/>
  <c r="D26" i="1"/>
  <c r="D25" i="1"/>
  <c r="D24" i="1"/>
  <c r="D23" i="1"/>
  <c r="D22" i="1"/>
  <c r="D20" i="1"/>
  <c r="D19" i="1"/>
  <c r="D17" i="1"/>
  <c r="D15" i="1"/>
  <c r="D12" i="1"/>
  <c r="D11" i="1"/>
  <c r="D9" i="1"/>
  <c r="D8" i="1"/>
  <c r="D7" i="1"/>
  <c r="D5" i="1"/>
  <c r="D4" i="1"/>
  <c r="D3" i="1"/>
</calcChain>
</file>

<file path=xl/sharedStrings.xml><?xml version="1.0" encoding="utf-8"?>
<sst xmlns="http://schemas.openxmlformats.org/spreadsheetml/2006/main" count="233" uniqueCount="79">
  <si>
    <t>1</t>
  </si>
  <si>
    <t>Шимса 1 мм</t>
  </si>
  <si>
    <t>Л</t>
  </si>
  <si>
    <t>Aisi 304</t>
  </si>
  <si>
    <t>10</t>
  </si>
  <si>
    <t>Скоба левая</t>
  </si>
  <si>
    <t>Л+Г</t>
  </si>
  <si>
    <t>09Г2С</t>
  </si>
  <si>
    <t>Рычаг</t>
  </si>
  <si>
    <t>Л+По</t>
  </si>
  <si>
    <t>Ст3</t>
  </si>
  <si>
    <t>Опорная пластина центральная</t>
  </si>
  <si>
    <t>Планка1</t>
  </si>
  <si>
    <t>Л+М</t>
  </si>
  <si>
    <t>Скоба правая</t>
  </si>
  <si>
    <t>2</t>
  </si>
  <si>
    <t>Износостойкая пластина</t>
  </si>
  <si>
    <t>40Х</t>
  </si>
  <si>
    <t>2.5</t>
  </si>
  <si>
    <t>Лист защиты</t>
  </si>
  <si>
    <t>Ст08</t>
  </si>
  <si>
    <t>3</t>
  </si>
  <si>
    <t>Кожух 2</t>
  </si>
  <si>
    <t>Кожух 1</t>
  </si>
  <si>
    <t>Боковина</t>
  </si>
  <si>
    <t>Планка верхняя</t>
  </si>
  <si>
    <t>АМГ3М</t>
  </si>
  <si>
    <t>Проставочная планка</t>
  </si>
  <si>
    <t>Планка нижняя левая</t>
  </si>
  <si>
    <t>Шимса 3 мм</t>
  </si>
  <si>
    <t>Планка боковая</t>
  </si>
  <si>
    <t>АМГ2М</t>
  </si>
  <si>
    <t>Планка нижняя правая</t>
  </si>
  <si>
    <t>Планка центральная</t>
  </si>
  <si>
    <t>4</t>
  </si>
  <si>
    <t>Проушина левая</t>
  </si>
  <si>
    <t>Проушина правая</t>
  </si>
  <si>
    <t>Планка 2</t>
  </si>
  <si>
    <t>Л+Г+М</t>
  </si>
  <si>
    <t>Пластина пружины</t>
  </si>
  <si>
    <t>Кожух передний</t>
  </si>
  <si>
    <t>Прижимная пластина с покрытием</t>
  </si>
  <si>
    <t>Скоба подвижная</t>
  </si>
  <si>
    <t>Л+Г+М+По</t>
  </si>
  <si>
    <t>Прижимная пластина без покрытия</t>
  </si>
  <si>
    <t>Скоба приварная</t>
  </si>
  <si>
    <t>5</t>
  </si>
  <si>
    <t>Скоба</t>
  </si>
  <si>
    <t>Проушина</t>
  </si>
  <si>
    <t>Прижимная планка</t>
  </si>
  <si>
    <t>Кронштейн</t>
  </si>
  <si>
    <t>Пластина</t>
  </si>
  <si>
    <t>Площадка ограничителя</t>
  </si>
  <si>
    <t>Площадка проушины</t>
  </si>
  <si>
    <t>Шайба 5х8.5х40</t>
  </si>
  <si>
    <t>Ребро</t>
  </si>
  <si>
    <t>6</t>
  </si>
  <si>
    <t>Регулировочная площадка</t>
  </si>
  <si>
    <t>Проушина гидроцилиндра</t>
  </si>
  <si>
    <t>8</t>
  </si>
  <si>
    <t>Опорная пластина левая</t>
  </si>
  <si>
    <t>Л+Г+По</t>
  </si>
  <si>
    <t>Ст45</t>
  </si>
  <si>
    <t>Кронштейн левый</t>
  </si>
  <si>
    <t>Кронштейн правый</t>
  </si>
  <si>
    <t>Упор</t>
  </si>
  <si>
    <t>Опорная пластина правая</t>
  </si>
  <si>
    <t>Пластина углового шарнира</t>
  </si>
  <si>
    <t>Пластина щетки</t>
  </si>
  <si>
    <t>Труба 25х25х2</t>
  </si>
  <si>
    <t>Труба 2</t>
  </si>
  <si>
    <t>Труборез</t>
  </si>
  <si>
    <t>Труба 3</t>
  </si>
  <si>
    <t>Труба 4</t>
  </si>
  <si>
    <t>Труба 1</t>
  </si>
  <si>
    <t>чпу</t>
  </si>
  <si>
    <t>чпу17</t>
  </si>
  <si>
    <t>чпу13</t>
  </si>
  <si>
    <t>гиб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</si>
</sst>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2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3" fillId="0" borderId="1" xfId="1" applyFill="1" applyBorder="1"/>
    <xf numFmtId="0" fontId="2" fillId="0" borderId="1" xfId="0" applyFont="1" applyFill="1" applyBorder="1"/>
    <xf numFmtId="0" fontId="3" fillId="3" borderId="1" xfId="1" applyFill="1" applyBorder="1"/>
    <xf numFmtId="0" fontId="0" fillId="0" borderId="0" xfId="0" applyFill="1"/>
    <xf numFmtId="0" fontId="3" fillId="4" borderId="1" xfId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59"/>
  <sheetViews>
    <sheetView tabSelected="1" topLeftCell="A40" zoomScaleNormal="100" workbookViewId="0">
      <selection activeCell="D46" sqref="D46"/>
    </sheetView>
  </sheetViews>
  <sheetFormatPr defaultRowHeight="15" x14ac:dyDescent="0.25"/>
  <cols>
    <col min="3" max="3" width="0" hidden="1" customWidth="1"/>
    <col min="4" max="4" width="18.5703125" style="9" customWidth="1"/>
    <col min="8" max="8" width="30" customWidth="1"/>
    <col min="9" max="9" width="14.7109375" customWidth="1"/>
  </cols>
  <sheetData>
    <row r="3" spans="1:11" x14ac:dyDescent="0.25">
      <c r="A3" s="1">
        <v>12524</v>
      </c>
      <c r="B3" s="2"/>
      <c r="C3" s="3">
        <v>37</v>
      </c>
      <c r="D3" s="10" t="str">
        <f>HYPERLINK("\\repository\server\КЛИЕНТЫ\Bucher\09334\8117007-A.PDF","8117007-A")</f>
        <v>8117007-A</v>
      </c>
      <c r="E3" s="4" t="s">
        <v>0</v>
      </c>
      <c r="F3" s="3">
        <v>40</v>
      </c>
      <c r="G3" s="5"/>
      <c r="H3" s="3" t="s">
        <v>1</v>
      </c>
      <c r="I3" s="3" t="s">
        <v>2</v>
      </c>
      <c r="J3" s="3"/>
      <c r="K3" s="3" t="s">
        <v>3</v>
      </c>
    </row>
    <row r="4" spans="1:11" x14ac:dyDescent="0.25">
      <c r="A4" s="1">
        <v>12524</v>
      </c>
      <c r="B4" s="2"/>
      <c r="C4" s="3">
        <v>11</v>
      </c>
      <c r="D4" s="10" t="str">
        <f>HYPERLINK("\\repository\server\КЛИЕНТЫ\Bucher\10184\Чертежи\8115640-A.PDF","8115640-A")</f>
        <v>8115640-A</v>
      </c>
      <c r="E4" s="4" t="s">
        <v>4</v>
      </c>
      <c r="F4" s="3">
        <v>20</v>
      </c>
      <c r="G4" s="5"/>
      <c r="H4" s="3" t="s">
        <v>5</v>
      </c>
      <c r="I4" s="3" t="s">
        <v>6</v>
      </c>
      <c r="J4" s="3"/>
      <c r="K4" s="3" t="s">
        <v>7</v>
      </c>
    </row>
    <row r="5" spans="1:11" x14ac:dyDescent="0.25">
      <c r="A5" s="1">
        <v>12524</v>
      </c>
      <c r="B5" s="2"/>
      <c r="C5" s="3">
        <v>50</v>
      </c>
      <c r="D5" s="10" t="str">
        <f>HYPERLINK("\\repository\server\КЛИЕНТЫ\Bucher\12057\Чертежи\8117328-C.pdf","8117328-C")</f>
        <v>8117328-C</v>
      </c>
      <c r="E5" s="4" t="s">
        <v>4</v>
      </c>
      <c r="F5" s="3">
        <v>40</v>
      </c>
      <c r="G5" s="5"/>
      <c r="H5" s="3" t="s">
        <v>8</v>
      </c>
      <c r="I5" s="3" t="s">
        <v>9</v>
      </c>
      <c r="J5" s="3"/>
      <c r="K5" s="3" t="s">
        <v>10</v>
      </c>
    </row>
    <row r="6" spans="1:11" x14ac:dyDescent="0.25">
      <c r="A6" s="1">
        <v>12524</v>
      </c>
      <c r="B6" s="2"/>
      <c r="C6" s="3">
        <v>22</v>
      </c>
      <c r="D6" s="10" t="str">
        <f>HYPERLINK("","8116168-A")</f>
        <v>8116168-A</v>
      </c>
      <c r="E6" s="4" t="s">
        <v>4</v>
      </c>
      <c r="F6" s="3">
        <v>20</v>
      </c>
      <c r="G6" s="5"/>
      <c r="H6" s="3" t="s">
        <v>11</v>
      </c>
      <c r="I6" s="3" t="s">
        <v>2</v>
      </c>
      <c r="J6" s="3"/>
      <c r="K6" s="3" t="s">
        <v>10</v>
      </c>
    </row>
    <row r="7" spans="1:11" x14ac:dyDescent="0.25">
      <c r="A7" s="1">
        <v>12524</v>
      </c>
      <c r="B7" s="2"/>
      <c r="C7" s="3">
        <v>43</v>
      </c>
      <c r="D7" s="10" t="str">
        <f>HYPERLINK("\\repository\server\КЛИЕНТЫ\Bucher\09334\Чертежи\8117140-A.PDF","8117140-A")</f>
        <v>8117140-A</v>
      </c>
      <c r="E7" s="4" t="s">
        <v>4</v>
      </c>
      <c r="F7" s="3">
        <v>20</v>
      </c>
      <c r="G7" s="5"/>
      <c r="H7" s="3" t="s">
        <v>12</v>
      </c>
      <c r="I7" s="3" t="s">
        <v>13</v>
      </c>
      <c r="J7" s="3"/>
      <c r="K7" s="3" t="s">
        <v>3</v>
      </c>
    </row>
    <row r="8" spans="1:11" x14ac:dyDescent="0.25">
      <c r="A8" s="1">
        <v>12524</v>
      </c>
      <c r="B8" s="2"/>
      <c r="C8" s="3">
        <v>12</v>
      </c>
      <c r="D8" s="10" t="str">
        <f>HYPERLINK("\\repository\server\КЛИЕНТЫ\Bucher\10184\Чертежи\8115640-A.PDF","8115642-A")</f>
        <v>8115642-A</v>
      </c>
      <c r="E8" s="4" t="s">
        <v>4</v>
      </c>
      <c r="F8" s="3">
        <v>20</v>
      </c>
      <c r="G8" s="5"/>
      <c r="H8" s="3" t="s">
        <v>14</v>
      </c>
      <c r="I8" s="3" t="s">
        <v>6</v>
      </c>
      <c r="J8" s="3"/>
      <c r="K8" s="3" t="s">
        <v>7</v>
      </c>
    </row>
    <row r="9" spans="1:11" x14ac:dyDescent="0.25">
      <c r="A9" s="1">
        <v>12524</v>
      </c>
      <c r="B9" s="2"/>
      <c r="C9" s="3">
        <v>10</v>
      </c>
      <c r="D9" s="10" t="str">
        <f>HYPERLINK("\\repository\server\КЛИЕНТЫ\Bucher\09334\Чертежи\8115635-A.PDF","8115635-A")</f>
        <v>8115635-A</v>
      </c>
      <c r="E9" s="4" t="s">
        <v>15</v>
      </c>
      <c r="F9" s="3">
        <v>80</v>
      </c>
      <c r="G9" s="5"/>
      <c r="H9" s="3" t="s">
        <v>16</v>
      </c>
      <c r="I9" s="3" t="s">
        <v>2</v>
      </c>
      <c r="J9" s="3"/>
      <c r="K9" s="3" t="s">
        <v>17</v>
      </c>
    </row>
    <row r="10" spans="1:11" x14ac:dyDescent="0.25">
      <c r="A10" s="1">
        <v>12524</v>
      </c>
      <c r="B10" s="2" t="s">
        <v>78</v>
      </c>
      <c r="C10" s="3">
        <v>53</v>
      </c>
      <c r="D10" s="6" t="str">
        <f>HYPERLINK("\\repository\server\КЛИЕНТЫ\Bucher\09334\Чертежи\8117400-B.PDF","8117400-B")</f>
        <v>8117400-B</v>
      </c>
      <c r="E10" s="4" t="s">
        <v>18</v>
      </c>
      <c r="F10" s="3">
        <v>20</v>
      </c>
      <c r="G10" s="5"/>
      <c r="H10" s="3" t="s">
        <v>19</v>
      </c>
      <c r="I10" s="3" t="s">
        <v>6</v>
      </c>
      <c r="J10" s="3"/>
      <c r="K10" s="3" t="s">
        <v>20</v>
      </c>
    </row>
    <row r="11" spans="1:11" x14ac:dyDescent="0.25">
      <c r="A11" s="1">
        <v>12524</v>
      </c>
      <c r="B11" s="2"/>
      <c r="C11" s="3">
        <v>39</v>
      </c>
      <c r="D11" s="10" t="str">
        <f>HYPERLINK("\\repository\server\КЛИЕНТЫ\Bucher\09334\Чертежи\8117026-A.PDF","8117026-A")</f>
        <v>8117026-A</v>
      </c>
      <c r="E11" s="4" t="s">
        <v>21</v>
      </c>
      <c r="F11" s="3">
        <v>20</v>
      </c>
      <c r="G11" s="5"/>
      <c r="H11" s="3" t="s">
        <v>22</v>
      </c>
      <c r="I11" s="3" t="s">
        <v>6</v>
      </c>
      <c r="J11" s="3"/>
      <c r="K11" s="3" t="s">
        <v>3</v>
      </c>
    </row>
    <row r="12" spans="1:11" x14ac:dyDescent="0.25">
      <c r="A12" s="1">
        <v>12524</v>
      </c>
      <c r="B12" s="2"/>
      <c r="C12" s="3">
        <v>38</v>
      </c>
      <c r="D12" s="10" t="str">
        <f>HYPERLINK("\\repository\server\КЛИЕНТЫ\Bucher\09334\Чертежи\8117025-A.PDF","8117025-A")</f>
        <v>8117025-A</v>
      </c>
      <c r="E12" s="4" t="s">
        <v>21</v>
      </c>
      <c r="F12" s="3">
        <v>20</v>
      </c>
      <c r="G12" s="5"/>
      <c r="H12" s="3" t="s">
        <v>23</v>
      </c>
      <c r="I12" s="3" t="s">
        <v>6</v>
      </c>
      <c r="J12" s="3"/>
      <c r="K12" s="3" t="s">
        <v>3</v>
      </c>
    </row>
    <row r="13" spans="1:11" x14ac:dyDescent="0.25">
      <c r="A13" s="1">
        <v>12524</v>
      </c>
      <c r="B13" s="2"/>
      <c r="C13" s="3">
        <v>40</v>
      </c>
      <c r="D13" s="10" t="str">
        <f>HYPERLINK("\\repository\server\КЛИЕНТЫ\Bucher\09334\Чертежи\8117029-A.PDF","8117029-A")</f>
        <v>8117029-A</v>
      </c>
      <c r="E13" s="4" t="s">
        <v>21</v>
      </c>
      <c r="F13" s="3">
        <v>40</v>
      </c>
      <c r="G13" s="5"/>
      <c r="H13" s="3" t="s">
        <v>24</v>
      </c>
      <c r="I13" s="3" t="s">
        <v>2</v>
      </c>
      <c r="J13" s="3"/>
      <c r="K13" s="3" t="s">
        <v>3</v>
      </c>
    </row>
    <row r="14" spans="1:11" x14ac:dyDescent="0.25">
      <c r="A14" s="1">
        <v>12524</v>
      </c>
      <c r="B14" s="2"/>
      <c r="C14" s="3">
        <v>41</v>
      </c>
      <c r="D14" s="10" t="str">
        <f>HYPERLINK("\\repository\server\КЛИЕНТЫ\Bucher\09334\Добавка\8117300-A.PDF","8117300-A")</f>
        <v>8117300-A</v>
      </c>
      <c r="E14" s="4" t="s">
        <v>21</v>
      </c>
      <c r="F14" s="3">
        <v>20</v>
      </c>
      <c r="G14" s="5"/>
      <c r="H14" s="3" t="s">
        <v>25</v>
      </c>
      <c r="I14" s="3" t="s">
        <v>2</v>
      </c>
      <c r="J14" s="3"/>
      <c r="K14" s="3" t="s">
        <v>26</v>
      </c>
    </row>
    <row r="15" spans="1:11" x14ac:dyDescent="0.25">
      <c r="A15" s="1">
        <v>12524</v>
      </c>
      <c r="B15" s="2"/>
      <c r="C15" s="3">
        <v>56</v>
      </c>
      <c r="D15" s="10" t="str">
        <f>HYPERLINK("\\repository\server\КЛИЕНТЫ\Bucher\11284\Чертежи\8130549-A.PDF","8130549-A")</f>
        <v>8130549-A</v>
      </c>
      <c r="E15" s="4" t="s">
        <v>21</v>
      </c>
      <c r="F15" s="3">
        <v>20</v>
      </c>
      <c r="G15" s="5"/>
      <c r="H15" s="3" t="s">
        <v>27</v>
      </c>
      <c r="I15" s="3" t="s">
        <v>2</v>
      </c>
      <c r="J15" s="3"/>
      <c r="K15" s="3" t="s">
        <v>3</v>
      </c>
    </row>
    <row r="16" spans="1:11" x14ac:dyDescent="0.25">
      <c r="A16" s="1">
        <v>12524</v>
      </c>
      <c r="B16" s="2"/>
      <c r="C16" s="3">
        <v>46</v>
      </c>
      <c r="D16" s="10" t="str">
        <f>HYPERLINK("\\repository\server\КЛИЕНТЫ\Bucher\09334\Добавка\8117301-A.PDF","8117301-A")</f>
        <v>8117301-A</v>
      </c>
      <c r="E16" s="4" t="s">
        <v>21</v>
      </c>
      <c r="F16" s="3">
        <v>20</v>
      </c>
      <c r="G16" s="5"/>
      <c r="H16" s="3" t="s">
        <v>28</v>
      </c>
      <c r="I16" s="3" t="s">
        <v>2</v>
      </c>
      <c r="J16" s="3"/>
      <c r="K16" s="3" t="s">
        <v>26</v>
      </c>
    </row>
    <row r="17" spans="1:11" x14ac:dyDescent="0.25">
      <c r="A17" s="1">
        <v>12524</v>
      </c>
      <c r="B17" s="2"/>
      <c r="C17" s="3">
        <v>36</v>
      </c>
      <c r="D17" s="10" t="str">
        <f>HYPERLINK("\\repository\server\КЛИЕНТЫ\Bucher\09334\Чертежи\8117006-A.PDF","8117006-A")</f>
        <v>8117006-A</v>
      </c>
      <c r="E17" s="4" t="s">
        <v>21</v>
      </c>
      <c r="F17" s="3">
        <v>80</v>
      </c>
      <c r="G17" s="5"/>
      <c r="H17" s="3" t="s">
        <v>29</v>
      </c>
      <c r="I17" s="3" t="s">
        <v>2</v>
      </c>
      <c r="J17" s="3"/>
      <c r="K17" s="3" t="s">
        <v>3</v>
      </c>
    </row>
    <row r="18" spans="1:11" x14ac:dyDescent="0.25">
      <c r="A18" s="1">
        <v>12524</v>
      </c>
      <c r="B18" s="2"/>
      <c r="C18" s="3">
        <v>48</v>
      </c>
      <c r="D18" s="10" t="str">
        <f>HYPERLINK("\\repository\server\КЛИЕНТЫ\Bucher\09334\Чертежи\8117398-A.PDF","8117398-A")</f>
        <v>8117398-A</v>
      </c>
      <c r="E18" s="4" t="s">
        <v>21</v>
      </c>
      <c r="F18" s="3">
        <v>40</v>
      </c>
      <c r="G18" s="5"/>
      <c r="H18" s="3" t="s">
        <v>30</v>
      </c>
      <c r="I18" s="3" t="s">
        <v>2</v>
      </c>
      <c r="J18" s="3"/>
      <c r="K18" s="3" t="s">
        <v>31</v>
      </c>
    </row>
    <row r="19" spans="1:11" x14ac:dyDescent="0.25">
      <c r="A19" s="1">
        <v>12524</v>
      </c>
      <c r="B19" s="2"/>
      <c r="C19" s="3">
        <v>47</v>
      </c>
      <c r="D19" s="10" t="str">
        <f>HYPERLINK("\\repository\server\КЛИЕНТЫ\Bucher\09334\Добавка\8117302-A.PDF","8117302-A")</f>
        <v>8117302-A</v>
      </c>
      <c r="E19" s="4" t="s">
        <v>21</v>
      </c>
      <c r="F19" s="3">
        <v>20</v>
      </c>
      <c r="G19" s="5"/>
      <c r="H19" s="3" t="s">
        <v>32</v>
      </c>
      <c r="I19" s="3" t="s">
        <v>2</v>
      </c>
      <c r="J19" s="3"/>
      <c r="K19" s="3" t="s">
        <v>26</v>
      </c>
    </row>
    <row r="20" spans="1:11" x14ac:dyDescent="0.25">
      <c r="A20" s="1">
        <v>12524</v>
      </c>
      <c r="B20" s="2"/>
      <c r="C20" s="3">
        <v>55</v>
      </c>
      <c r="D20" s="10" t="str">
        <f>HYPERLINK("\\repository\server\КЛИЕНТЫ\Bucher\09334\Чертежи\8117399-A.PDF","8117399-A")</f>
        <v>8117399-A</v>
      </c>
      <c r="E20" s="4" t="s">
        <v>21</v>
      </c>
      <c r="F20" s="3">
        <v>20</v>
      </c>
      <c r="G20" s="5"/>
      <c r="H20" s="3" t="s">
        <v>33</v>
      </c>
      <c r="I20" s="3" t="s">
        <v>2</v>
      </c>
      <c r="J20" s="3"/>
      <c r="K20" s="3" t="s">
        <v>31</v>
      </c>
    </row>
    <row r="21" spans="1:11" x14ac:dyDescent="0.25">
      <c r="A21" s="1">
        <v>12524</v>
      </c>
      <c r="B21" s="2"/>
      <c r="C21" s="3">
        <v>33</v>
      </c>
      <c r="D21" s="10" t="str">
        <f>HYPERLINK("\\repository\server\КЛИЕНТЫ\Bucher\09334\Чертежи\8116893-A.PDF","8116893-A")</f>
        <v>8116893-A</v>
      </c>
      <c r="E21" s="4" t="s">
        <v>34</v>
      </c>
      <c r="F21" s="3">
        <v>20</v>
      </c>
      <c r="G21" s="5"/>
      <c r="H21" s="3" t="s">
        <v>35</v>
      </c>
      <c r="I21" s="3" t="s">
        <v>6</v>
      </c>
      <c r="J21" s="3"/>
      <c r="K21" s="3" t="s">
        <v>3</v>
      </c>
    </row>
    <row r="22" spans="1:11" x14ac:dyDescent="0.25">
      <c r="A22" s="1">
        <v>12524</v>
      </c>
      <c r="B22" s="2"/>
      <c r="C22" s="3">
        <v>34</v>
      </c>
      <c r="D22" s="10" t="str">
        <f>HYPERLINK("\\repository\server\КЛИЕНТЫ\Bucher\09334\8116894-A.PDF","8116894-A")</f>
        <v>8116894-A</v>
      </c>
      <c r="E22" s="4" t="s">
        <v>34</v>
      </c>
      <c r="F22" s="3">
        <v>20</v>
      </c>
      <c r="G22" s="5"/>
      <c r="H22" s="3" t="s">
        <v>36</v>
      </c>
      <c r="I22" s="3" t="s">
        <v>6</v>
      </c>
      <c r="J22" s="3"/>
      <c r="K22" s="3" t="s">
        <v>3</v>
      </c>
    </row>
    <row r="23" spans="1:11" x14ac:dyDescent="0.25">
      <c r="A23" s="1">
        <v>12524</v>
      </c>
      <c r="B23" s="2"/>
      <c r="C23" s="3">
        <v>44</v>
      </c>
      <c r="D23" s="10" t="str">
        <f>HYPERLINK("\\repository\server\КЛИЕНТЫ\Bucher\09334\Чертежи\8117141-A.PDF","8117141-A")</f>
        <v>8117141-A</v>
      </c>
      <c r="E23" s="4" t="s">
        <v>34</v>
      </c>
      <c r="F23" s="3">
        <v>20</v>
      </c>
      <c r="G23" s="5"/>
      <c r="H23" s="3" t="s">
        <v>37</v>
      </c>
      <c r="I23" s="3" t="s">
        <v>38</v>
      </c>
      <c r="J23" s="3"/>
      <c r="K23" s="3" t="s">
        <v>3</v>
      </c>
    </row>
    <row r="24" spans="1:11" x14ac:dyDescent="0.25">
      <c r="A24" s="1">
        <v>12524</v>
      </c>
      <c r="B24" s="2"/>
      <c r="C24" s="3">
        <v>45</v>
      </c>
      <c r="D24" s="10" t="str">
        <f>HYPERLINK("\\repository\server\КЛИЕНТЫ\Bucher\09334\Чертежи\8117142-A.PDF","8117142-A")</f>
        <v>8117142-A</v>
      </c>
      <c r="E24" s="4" t="s">
        <v>34</v>
      </c>
      <c r="F24" s="3">
        <v>20</v>
      </c>
      <c r="G24" s="5"/>
      <c r="H24" s="3" t="s">
        <v>39</v>
      </c>
      <c r="I24" s="3" t="s">
        <v>2</v>
      </c>
      <c r="J24" s="3"/>
      <c r="K24" s="3" t="s">
        <v>3</v>
      </c>
    </row>
    <row r="25" spans="1:11" x14ac:dyDescent="0.25">
      <c r="A25" s="1">
        <v>12524</v>
      </c>
      <c r="B25" s="2"/>
      <c r="C25" s="3">
        <v>29</v>
      </c>
      <c r="D25" s="10" t="str">
        <f>HYPERLINK("\\repository\server\КЛИЕНТЫ\Bucher\09334\Чертежи\8116884-A.PDF","8116884-A")</f>
        <v>8116884-A</v>
      </c>
      <c r="E25" s="4" t="s">
        <v>34</v>
      </c>
      <c r="F25" s="3">
        <v>20</v>
      </c>
      <c r="G25" s="5"/>
      <c r="H25" s="3" t="s">
        <v>40</v>
      </c>
      <c r="I25" s="3" t="s">
        <v>6</v>
      </c>
      <c r="J25" s="3"/>
      <c r="K25" s="3" t="s">
        <v>3</v>
      </c>
    </row>
    <row r="26" spans="1:11" x14ac:dyDescent="0.25">
      <c r="A26" s="1">
        <v>12524</v>
      </c>
      <c r="B26" s="2"/>
      <c r="C26" s="3">
        <v>17</v>
      </c>
      <c r="D26" s="10" t="str">
        <f>HYPERLINK("\\repository\server\КЛИЕНТЫ\Bucher\12057\Чертежи\8115938-C.pdf","8115938-C")</f>
        <v>8115938-C</v>
      </c>
      <c r="E26" s="4" t="s">
        <v>34</v>
      </c>
      <c r="F26" s="3">
        <v>20</v>
      </c>
      <c r="G26" s="5"/>
      <c r="H26" s="3" t="s">
        <v>41</v>
      </c>
      <c r="I26" s="3" t="s">
        <v>9</v>
      </c>
      <c r="J26" s="3"/>
      <c r="K26" s="3" t="s">
        <v>10</v>
      </c>
    </row>
    <row r="27" spans="1:11" x14ac:dyDescent="0.25">
      <c r="A27" s="1">
        <v>12524</v>
      </c>
      <c r="B27" s="7"/>
      <c r="C27" s="3">
        <v>20</v>
      </c>
      <c r="D27" s="10" t="str">
        <f>HYPERLINK("\\repository\server\КЛИЕНТЫ\Bucher\12057\Чертежи\8115950-B.pdf","8115950-B")</f>
        <v>8115950-B</v>
      </c>
      <c r="E27" s="4" t="s">
        <v>34</v>
      </c>
      <c r="F27" s="3">
        <v>20</v>
      </c>
      <c r="G27" s="5"/>
      <c r="H27" s="3" t="s">
        <v>42</v>
      </c>
      <c r="I27" s="3" t="s">
        <v>43</v>
      </c>
      <c r="J27" s="3"/>
      <c r="K27" s="3" t="s">
        <v>10</v>
      </c>
    </row>
    <row r="28" spans="1:11" x14ac:dyDescent="0.25">
      <c r="A28" s="1">
        <v>12524</v>
      </c>
      <c r="B28" s="7"/>
      <c r="C28" s="3">
        <v>19</v>
      </c>
      <c r="D28" s="10" t="str">
        <f>HYPERLINK("\\repository\server\КЛИЕНТЫ\Bucher\12057\Чертежи\8115939-C.pdf","8115939-C")</f>
        <v>8115939-C</v>
      </c>
      <c r="E28" s="4" t="s">
        <v>34</v>
      </c>
      <c r="F28" s="3">
        <v>20</v>
      </c>
      <c r="G28" s="5"/>
      <c r="H28" s="3" t="s">
        <v>44</v>
      </c>
      <c r="I28" s="3" t="s">
        <v>2</v>
      </c>
      <c r="J28" s="3"/>
      <c r="K28" s="3" t="s">
        <v>10</v>
      </c>
    </row>
    <row r="29" spans="1:11" x14ac:dyDescent="0.25">
      <c r="A29" s="1">
        <v>12524</v>
      </c>
      <c r="B29" s="7"/>
      <c r="C29" s="3">
        <v>18</v>
      </c>
      <c r="D29" s="10" t="str">
        <f>HYPERLINK("\\repository\server\КЛИЕНТЫ\Bucher\09334\Чертежи\8115947-A.PDF","8115947-A")</f>
        <v>8115947-A</v>
      </c>
      <c r="E29" s="4" t="s">
        <v>34</v>
      </c>
      <c r="F29" s="3">
        <v>20</v>
      </c>
      <c r="G29" s="5"/>
      <c r="H29" s="3" t="s">
        <v>45</v>
      </c>
      <c r="I29" s="3" t="s">
        <v>38</v>
      </c>
      <c r="J29" s="3"/>
      <c r="K29" s="3" t="s">
        <v>10</v>
      </c>
    </row>
    <row r="30" spans="1:11" x14ac:dyDescent="0.25">
      <c r="A30" s="1">
        <v>12524</v>
      </c>
      <c r="B30" s="7"/>
      <c r="C30" s="3">
        <v>54</v>
      </c>
      <c r="D30" s="10" t="str">
        <f>HYPERLINK("\\repository\server\КЛИЕНТЫ\Bucher\09334\Чертежи\8117403-B.PDF","8117403-B")</f>
        <v>8117403-B</v>
      </c>
      <c r="E30" s="4" t="s">
        <v>46</v>
      </c>
      <c r="F30" s="3">
        <v>20</v>
      </c>
      <c r="G30" s="5"/>
      <c r="H30" s="3" t="s">
        <v>47</v>
      </c>
      <c r="I30" s="3" t="s">
        <v>6</v>
      </c>
      <c r="J30" s="3"/>
      <c r="K30" s="3" t="s">
        <v>10</v>
      </c>
    </row>
    <row r="31" spans="1:11" x14ac:dyDescent="0.25">
      <c r="A31" s="1">
        <v>12524</v>
      </c>
      <c r="B31" s="7"/>
      <c r="C31" s="3">
        <v>52</v>
      </c>
      <c r="D31" s="10" t="str">
        <f>HYPERLINK("\\repository\server\КЛИЕНТЫ\Bucher\09334\Чертежи\8117401-A.PDF","8117401-A")</f>
        <v>8117401-A</v>
      </c>
      <c r="E31" s="4" t="s">
        <v>46</v>
      </c>
      <c r="F31" s="3">
        <v>40</v>
      </c>
      <c r="G31" s="5"/>
      <c r="H31" s="3" t="s">
        <v>48</v>
      </c>
      <c r="I31" s="3" t="s">
        <v>2</v>
      </c>
      <c r="J31" s="3"/>
      <c r="K31" s="3" t="s">
        <v>10</v>
      </c>
    </row>
    <row r="32" spans="1:11" x14ac:dyDescent="0.25">
      <c r="A32" s="1">
        <v>12524</v>
      </c>
      <c r="B32" s="7"/>
      <c r="C32" s="3">
        <v>49</v>
      </c>
      <c r="D32" s="10" t="str">
        <f>HYPERLINK("\\repository\server\КЛИЕНТЫ\Bucher\09334\Чертежи\8117317-A.PDF","8117317-A")</f>
        <v>8117317-A</v>
      </c>
      <c r="E32" s="4" t="s">
        <v>46</v>
      </c>
      <c r="F32" s="3">
        <v>40</v>
      </c>
      <c r="G32" s="5"/>
      <c r="H32" s="3" t="s">
        <v>49</v>
      </c>
      <c r="I32" s="3" t="s">
        <v>2</v>
      </c>
      <c r="J32" s="3"/>
      <c r="K32" s="3" t="s">
        <v>3</v>
      </c>
    </row>
    <row r="33" spans="1:11" x14ac:dyDescent="0.25">
      <c r="A33" s="1">
        <v>12524</v>
      </c>
      <c r="B33" s="2"/>
      <c r="C33" s="3">
        <v>35</v>
      </c>
      <c r="D33" s="10" t="str">
        <f>HYPERLINK("\\repository\server\КЛИЕНТЫ\Bucher\09334\Чертежи\8116898-A.PDF","8116898-A")</f>
        <v>8116898-A</v>
      </c>
      <c r="E33" s="4" t="s">
        <v>46</v>
      </c>
      <c r="F33" s="3">
        <v>20</v>
      </c>
      <c r="G33" s="5"/>
      <c r="H33" s="3" t="s">
        <v>50</v>
      </c>
      <c r="I33" s="3" t="s">
        <v>6</v>
      </c>
      <c r="J33" s="3"/>
      <c r="K33" s="3" t="s">
        <v>3</v>
      </c>
    </row>
    <row r="34" spans="1:11" x14ac:dyDescent="0.25">
      <c r="A34" s="1">
        <v>12524</v>
      </c>
      <c r="B34" s="2"/>
      <c r="C34" s="3">
        <v>57</v>
      </c>
      <c r="D34" s="10" t="str">
        <f>HYPERLINK("\\repository\server\КЛИЕНТЫ\Bucher\09334\Чертежи\8117404-B.PDF","8117404-B")</f>
        <v>8117404-B</v>
      </c>
      <c r="E34" s="4" t="s">
        <v>46</v>
      </c>
      <c r="F34" s="3">
        <v>20</v>
      </c>
      <c r="G34" s="5"/>
      <c r="H34" s="3" t="s">
        <v>51</v>
      </c>
      <c r="I34" s="3" t="s">
        <v>6</v>
      </c>
      <c r="J34" s="3"/>
      <c r="K34" s="3" t="s">
        <v>10</v>
      </c>
    </row>
    <row r="35" spans="1:11" x14ac:dyDescent="0.25">
      <c r="A35" s="1">
        <v>12524</v>
      </c>
      <c r="B35" s="2"/>
      <c r="C35" s="3">
        <v>7</v>
      </c>
      <c r="D35" s="10" t="str">
        <f>HYPERLINK("\\repository\server\КЛИЕНТЫ\Bucher\09334\Чертежи\8115591-A.PDF","8115591-A")</f>
        <v>8115591-A</v>
      </c>
      <c r="E35" s="4" t="s">
        <v>46</v>
      </c>
      <c r="F35" s="3">
        <v>40</v>
      </c>
      <c r="G35" s="5"/>
      <c r="H35" s="3" t="s">
        <v>52</v>
      </c>
      <c r="I35" s="3" t="s">
        <v>13</v>
      </c>
      <c r="J35" s="3"/>
      <c r="K35" s="3" t="s">
        <v>7</v>
      </c>
    </row>
    <row r="36" spans="1:11" x14ac:dyDescent="0.25">
      <c r="A36" s="1">
        <v>12524</v>
      </c>
      <c r="B36" s="2"/>
      <c r="C36" s="3">
        <v>6</v>
      </c>
      <c r="D36" s="10" t="str">
        <f>HYPERLINK("\\repository\server\КЛИЕНТЫ\Bucher\09334\Чертежи\8115590-A.PDF","8115590-A")</f>
        <v>8115590-A</v>
      </c>
      <c r="E36" s="4" t="s">
        <v>46</v>
      </c>
      <c r="F36" s="3">
        <v>40</v>
      </c>
      <c r="G36" s="5"/>
      <c r="H36" s="3" t="s">
        <v>53</v>
      </c>
      <c r="I36" s="3" t="s">
        <v>2</v>
      </c>
      <c r="J36" s="3"/>
      <c r="K36" s="3" t="s">
        <v>7</v>
      </c>
    </row>
    <row r="37" spans="1:11" x14ac:dyDescent="0.25">
      <c r="A37" s="1">
        <v>12524</v>
      </c>
      <c r="B37" s="2"/>
      <c r="C37" s="3">
        <v>16</v>
      </c>
      <c r="D37" s="10" t="str">
        <f>HYPERLINK("\\repository\server\КЛИЕНТЫ\Bucher\12057\Чертежи\8115772-B.pdf","8115772-B")</f>
        <v>8115772-B</v>
      </c>
      <c r="E37" s="4" t="s">
        <v>46</v>
      </c>
      <c r="F37" s="3">
        <v>40</v>
      </c>
      <c r="G37" s="5"/>
      <c r="H37" s="3" t="s">
        <v>54</v>
      </c>
      <c r="I37" s="3" t="s">
        <v>9</v>
      </c>
      <c r="J37" s="3"/>
      <c r="K37" s="3" t="s">
        <v>10</v>
      </c>
    </row>
    <row r="38" spans="1:11" x14ac:dyDescent="0.25">
      <c r="A38" s="1">
        <v>12524</v>
      </c>
      <c r="B38" s="2"/>
      <c r="C38" s="3">
        <v>5</v>
      </c>
      <c r="D38" s="10" t="str">
        <f>HYPERLINK("\\repository\server\КЛИЕНТЫ\Bucher\09334\Чертежи\8115589-A.PDF","8115589-A")</f>
        <v>8115589-A</v>
      </c>
      <c r="E38" s="4" t="s">
        <v>46</v>
      </c>
      <c r="F38" s="3">
        <v>80</v>
      </c>
      <c r="G38" s="5"/>
      <c r="H38" s="3" t="s">
        <v>55</v>
      </c>
      <c r="I38" s="3" t="s">
        <v>2</v>
      </c>
      <c r="J38" s="3"/>
      <c r="K38" s="3" t="s">
        <v>7</v>
      </c>
    </row>
    <row r="39" spans="1:11" x14ac:dyDescent="0.25">
      <c r="A39" s="1">
        <v>12524</v>
      </c>
      <c r="B39" s="2"/>
      <c r="C39" s="3">
        <v>24</v>
      </c>
      <c r="D39" s="10" t="str">
        <f>HYPERLINK("\\repository\server\КЛИЕНТЫ\Bucher\Чертежи\8116169-C.PDF","8116169-C")</f>
        <v>8116169-C</v>
      </c>
      <c r="E39" s="4" t="s">
        <v>56</v>
      </c>
      <c r="F39" s="3">
        <v>20</v>
      </c>
      <c r="G39" s="5"/>
      <c r="H39" s="3" t="s">
        <v>57</v>
      </c>
      <c r="I39" s="3" t="s">
        <v>2</v>
      </c>
      <c r="J39" s="3"/>
      <c r="K39" s="3" t="s">
        <v>10</v>
      </c>
    </row>
    <row r="40" spans="1:11" x14ac:dyDescent="0.25">
      <c r="A40" s="1">
        <v>12524</v>
      </c>
      <c r="B40" s="2"/>
      <c r="C40" s="3">
        <v>42</v>
      </c>
      <c r="D40" s="10" t="str">
        <f>HYPERLINK("\\repository\server\КЛИЕНТЫ\Bucher\Чертежи\8117138-B.PDF","8117138-B")</f>
        <v>8117138-B</v>
      </c>
      <c r="E40" s="4" t="s">
        <v>56</v>
      </c>
      <c r="F40" s="3">
        <v>40</v>
      </c>
      <c r="G40" s="5"/>
      <c r="H40" s="3" t="s">
        <v>48</v>
      </c>
      <c r="I40" s="3" t="s">
        <v>2</v>
      </c>
      <c r="J40" s="3"/>
      <c r="K40" s="3" t="s">
        <v>3</v>
      </c>
    </row>
    <row r="41" spans="1:11" x14ac:dyDescent="0.25">
      <c r="A41" s="1">
        <v>12524</v>
      </c>
      <c r="B41" s="2"/>
      <c r="C41" s="3">
        <v>32</v>
      </c>
      <c r="D41" s="10" t="str">
        <f>HYPERLINK("\\repository\server\КЛИЕНТЫ\Bucher\09334\Чертежи\8116892-A.PDF","8116892-A")</f>
        <v>8116892-A</v>
      </c>
      <c r="E41" s="4" t="s">
        <v>56</v>
      </c>
      <c r="F41" s="3">
        <v>20</v>
      </c>
      <c r="G41" s="5"/>
      <c r="H41" s="3" t="s">
        <v>51</v>
      </c>
      <c r="I41" s="3" t="s">
        <v>2</v>
      </c>
      <c r="J41" s="3"/>
      <c r="K41" s="3" t="s">
        <v>3</v>
      </c>
    </row>
    <row r="42" spans="1:11" x14ac:dyDescent="0.25">
      <c r="A42" s="1">
        <v>12524</v>
      </c>
      <c r="B42" s="2"/>
      <c r="C42" s="3">
        <v>30</v>
      </c>
      <c r="D42" s="10" t="str">
        <f>HYPERLINK("\\repository\server\КЛИЕНТЫ\Bucher\09334\Чертежи\8116887-A.PDF","8116887-A")</f>
        <v>8116887-A</v>
      </c>
      <c r="E42" s="4" t="s">
        <v>56</v>
      </c>
      <c r="F42" s="3">
        <v>80</v>
      </c>
      <c r="G42" s="5"/>
      <c r="H42" s="3" t="s">
        <v>48</v>
      </c>
      <c r="I42" s="3" t="s">
        <v>2</v>
      </c>
      <c r="J42" s="3"/>
      <c r="K42" s="3" t="s">
        <v>3</v>
      </c>
    </row>
    <row r="43" spans="1:11" x14ac:dyDescent="0.25">
      <c r="A43" s="1">
        <v>12524</v>
      </c>
      <c r="B43" s="2"/>
      <c r="C43" s="3">
        <v>31</v>
      </c>
      <c r="D43" s="10" t="str">
        <f>HYPERLINK("\\repository\server\КЛИЕНТЫ\Bucher\09334\Чертежи\8116889-A.PDF","8116889-A")</f>
        <v>8116889-A</v>
      </c>
      <c r="E43" s="4" t="s">
        <v>56</v>
      </c>
      <c r="F43" s="3">
        <v>40</v>
      </c>
      <c r="G43" s="5"/>
      <c r="H43" s="3" t="s">
        <v>58</v>
      </c>
      <c r="I43" s="3" t="s">
        <v>2</v>
      </c>
      <c r="J43" s="3"/>
      <c r="K43" s="3" t="s">
        <v>3</v>
      </c>
    </row>
    <row r="44" spans="1:11" x14ac:dyDescent="0.25">
      <c r="A44" s="1">
        <v>12524</v>
      </c>
      <c r="B44" s="2"/>
      <c r="C44" s="3">
        <v>28</v>
      </c>
      <c r="D44" s="10" t="str">
        <f>HYPERLINK("\\repository\server\КЛИЕНТЫ\Bucher\09334\Чертежи\8116167-B.pdf","8116167-B")</f>
        <v>8116167-B</v>
      </c>
      <c r="E44" s="4" t="s">
        <v>59</v>
      </c>
      <c r="F44" s="3">
        <v>20</v>
      </c>
      <c r="G44" s="5"/>
      <c r="H44" s="3" t="s">
        <v>60</v>
      </c>
      <c r="I44" s="3" t="s">
        <v>2</v>
      </c>
      <c r="J44" s="3"/>
      <c r="K44" s="3" t="s">
        <v>10</v>
      </c>
    </row>
    <row r="45" spans="1:11" x14ac:dyDescent="0.25">
      <c r="A45" s="1">
        <v>12524</v>
      </c>
      <c r="B45" s="2"/>
      <c r="C45" s="3">
        <v>51</v>
      </c>
      <c r="D45" s="10" t="str">
        <f>HYPERLINK("\\repository\server\КЛИЕНТЫ\Bucher\12057\Чертежи\8117339-B.pdf","8117339-B")</f>
        <v>8117339-B</v>
      </c>
      <c r="E45" s="4" t="s">
        <v>59</v>
      </c>
      <c r="F45" s="3">
        <v>20</v>
      </c>
      <c r="G45" s="5"/>
      <c r="H45" s="3" t="s">
        <v>50</v>
      </c>
      <c r="I45" s="3" t="s">
        <v>61</v>
      </c>
      <c r="J45" s="3"/>
      <c r="K45" s="3" t="s">
        <v>62</v>
      </c>
    </row>
    <row r="46" spans="1:11" x14ac:dyDescent="0.25">
      <c r="A46" s="1">
        <v>12524</v>
      </c>
      <c r="B46" s="2" t="s">
        <v>75</v>
      </c>
      <c r="C46" s="3">
        <v>8</v>
      </c>
      <c r="D46" s="8" t="str">
        <f>HYPERLINK("\\repository\server\КЛИЕНТЫ\Bucher\09334\Чертежи\8115613-A.PDF","8115613-A")</f>
        <v>8115613-A</v>
      </c>
      <c r="E46" s="4" t="s">
        <v>59</v>
      </c>
      <c r="F46" s="3">
        <v>20</v>
      </c>
      <c r="G46" s="5"/>
      <c r="H46" s="3" t="s">
        <v>63</v>
      </c>
      <c r="I46" s="3" t="s">
        <v>38</v>
      </c>
      <c r="J46" s="3"/>
      <c r="K46" s="3" t="s">
        <v>7</v>
      </c>
    </row>
    <row r="47" spans="1:11" x14ac:dyDescent="0.25">
      <c r="A47" s="1">
        <v>12524</v>
      </c>
      <c r="B47" s="2" t="s">
        <v>76</v>
      </c>
      <c r="C47" s="3">
        <v>3</v>
      </c>
      <c r="D47" s="8" t="str">
        <f>HYPERLINK("\\repository\server\КЛИЕНТЫ\Bucher\09334\Чертежи\8115168-A.PDF","8115170-A")</f>
        <v>8115170-A</v>
      </c>
      <c r="E47" s="4" t="s">
        <v>59</v>
      </c>
      <c r="F47" s="3">
        <v>20</v>
      </c>
      <c r="G47" s="5"/>
      <c r="H47" s="3" t="s">
        <v>64</v>
      </c>
      <c r="I47" s="3" t="s">
        <v>38</v>
      </c>
      <c r="J47" s="3"/>
      <c r="K47" s="3" t="s">
        <v>7</v>
      </c>
    </row>
    <row r="48" spans="1:11" x14ac:dyDescent="0.25">
      <c r="A48" s="1">
        <v>12524</v>
      </c>
      <c r="B48" s="2"/>
      <c r="C48" s="3">
        <v>4</v>
      </c>
      <c r="D48" s="10" t="str">
        <f>HYPERLINK("\\repository\server\КЛИЕНТЫ\Bucher\09334\Чертежи\8115588-A.PDF","8115588-A")</f>
        <v>8115588-A</v>
      </c>
      <c r="E48" s="4" t="s">
        <v>59</v>
      </c>
      <c r="F48" s="3">
        <v>80</v>
      </c>
      <c r="G48" s="5"/>
      <c r="H48" s="3" t="s">
        <v>58</v>
      </c>
      <c r="I48" s="3" t="s">
        <v>2</v>
      </c>
      <c r="J48" s="3"/>
      <c r="K48" s="3" t="s">
        <v>7</v>
      </c>
    </row>
    <row r="49" spans="1:11" x14ac:dyDescent="0.25">
      <c r="A49" s="1">
        <v>12524</v>
      </c>
      <c r="B49" s="2"/>
      <c r="C49" s="3">
        <v>2</v>
      </c>
      <c r="D49" s="10" t="str">
        <f>HYPERLINK("\\repository\server\КЛИЕНТЫ\Bucher\09334\Чертежи\8115169-A.PDF","8115169-A")</f>
        <v>8115169-A</v>
      </c>
      <c r="E49" s="4" t="s">
        <v>59</v>
      </c>
      <c r="F49" s="3">
        <v>40</v>
      </c>
      <c r="G49" s="5"/>
      <c r="H49" s="3" t="s">
        <v>65</v>
      </c>
      <c r="I49" s="3" t="s">
        <v>2</v>
      </c>
      <c r="J49" s="3"/>
      <c r="K49" s="3" t="s">
        <v>7</v>
      </c>
    </row>
    <row r="50" spans="1:11" x14ac:dyDescent="0.25">
      <c r="A50" s="1">
        <v>12524</v>
      </c>
      <c r="B50" s="2" t="s">
        <v>77</v>
      </c>
      <c r="C50" s="3">
        <v>1</v>
      </c>
      <c r="D50" s="8" t="str">
        <f>HYPERLINK("\\repository\server\КЛИЕНТЫ\Bucher\09334\Чертежи\8115168-A.PDF","8115168-A")</f>
        <v>8115168-A</v>
      </c>
      <c r="E50" s="4" t="s">
        <v>59</v>
      </c>
      <c r="F50" s="3">
        <v>20</v>
      </c>
      <c r="G50" s="5"/>
      <c r="H50" s="3" t="s">
        <v>63</v>
      </c>
      <c r="I50" s="3" t="s">
        <v>38</v>
      </c>
      <c r="J50" s="3"/>
      <c r="K50" s="3" t="s">
        <v>7</v>
      </c>
    </row>
    <row r="51" spans="1:11" x14ac:dyDescent="0.25">
      <c r="A51" s="1">
        <v>12524</v>
      </c>
      <c r="B51" s="2"/>
      <c r="C51" s="3">
        <v>21</v>
      </c>
      <c r="D51" s="10" t="str">
        <f>HYPERLINK("\\repository\server\КЛИЕНТЫ\Bucher\09334\Чертежи\8116166-B.pdf","8116166-B")</f>
        <v>8116166-B</v>
      </c>
      <c r="E51" s="4" t="s">
        <v>59</v>
      </c>
      <c r="F51" s="3">
        <v>20</v>
      </c>
      <c r="G51" s="5"/>
      <c r="H51" s="3" t="s">
        <v>66</v>
      </c>
      <c r="I51" s="3" t="s">
        <v>2</v>
      </c>
      <c r="J51" s="3"/>
      <c r="K51" s="3" t="s">
        <v>10</v>
      </c>
    </row>
    <row r="52" spans="1:11" x14ac:dyDescent="0.25">
      <c r="A52" s="1">
        <v>12524</v>
      </c>
      <c r="B52" s="2" t="s">
        <v>75</v>
      </c>
      <c r="C52" s="3">
        <v>9</v>
      </c>
      <c r="D52" s="8" t="str">
        <f>HYPERLINK("\\repository\server\КЛИЕНТЫ\Bucher\09334\8115617-A.PDF","8115617-A")</f>
        <v>8115617-A</v>
      </c>
      <c r="E52" s="4" t="s">
        <v>59</v>
      </c>
      <c r="F52" s="3">
        <v>20</v>
      </c>
      <c r="G52" s="5"/>
      <c r="H52" s="3" t="s">
        <v>64</v>
      </c>
      <c r="I52" s="3" t="s">
        <v>38</v>
      </c>
      <c r="J52" s="3"/>
      <c r="K52" s="3" t="s">
        <v>7</v>
      </c>
    </row>
    <row r="53" spans="1:11" x14ac:dyDescent="0.25">
      <c r="A53" s="1">
        <v>12524</v>
      </c>
      <c r="B53" s="2"/>
      <c r="C53" s="3">
        <v>15</v>
      </c>
      <c r="D53" s="10" t="str">
        <f>HYPERLINK("\\repository\server\КЛИЕНТЫ\Bucher\12057\Чертежи\8115740-B.pdf","8115740-B")</f>
        <v>8115740-B</v>
      </c>
      <c r="E53" s="4" t="s">
        <v>59</v>
      </c>
      <c r="F53" s="3">
        <v>40</v>
      </c>
      <c r="G53" s="5"/>
      <c r="H53" s="3" t="s">
        <v>67</v>
      </c>
      <c r="I53" s="3" t="s">
        <v>9</v>
      </c>
      <c r="J53" s="3"/>
      <c r="K53" s="3" t="s">
        <v>10</v>
      </c>
    </row>
    <row r="54" spans="1:11" x14ac:dyDescent="0.25">
      <c r="A54" s="1">
        <v>12524</v>
      </c>
      <c r="B54" s="2"/>
      <c r="C54" s="3">
        <v>13</v>
      </c>
      <c r="D54" s="10" t="str">
        <f>HYPERLINK("\\repository\server\КЛИЕНТЫ\Bucher\09334\Чертежи\8115665-A.PDF","8115665-A")</f>
        <v>8115665-A</v>
      </c>
      <c r="E54" s="4" t="s">
        <v>59</v>
      </c>
      <c r="F54" s="3">
        <v>40</v>
      </c>
      <c r="G54" s="5"/>
      <c r="H54" s="3" t="s">
        <v>68</v>
      </c>
      <c r="I54" s="3" t="s">
        <v>2</v>
      </c>
      <c r="J54" s="3"/>
      <c r="K54" s="3" t="s">
        <v>7</v>
      </c>
    </row>
    <row r="55" spans="1:11" x14ac:dyDescent="0.25">
      <c r="A55" s="1">
        <v>12524</v>
      </c>
      <c r="B55" s="2"/>
      <c r="C55" s="3">
        <v>14</v>
      </c>
      <c r="D55" s="10" t="str">
        <f>HYPERLINK("\\repository\server\КЛИЕНТЫ\Bucher\09334\Чертежи\8115668-A.PDF","8115668-A")</f>
        <v>8115668-A</v>
      </c>
      <c r="E55" s="4" t="s">
        <v>59</v>
      </c>
      <c r="F55" s="3">
        <v>40</v>
      </c>
      <c r="G55" s="5"/>
      <c r="H55" s="3" t="s">
        <v>51</v>
      </c>
      <c r="I55" s="3" t="s">
        <v>2</v>
      </c>
      <c r="J55" s="3"/>
      <c r="K55" s="3" t="s">
        <v>10</v>
      </c>
    </row>
    <row r="56" spans="1:11" x14ac:dyDescent="0.25">
      <c r="A56" s="1">
        <v>12524</v>
      </c>
      <c r="B56" s="2"/>
      <c r="C56" s="3">
        <v>25</v>
      </c>
      <c r="D56" s="10" t="str">
        <f>HYPERLINK("\\repository\server\КЛИЕНТЫ\Bucher\Чертежи\8116174-B.pdf","8116174-B")</f>
        <v>8116174-B</v>
      </c>
      <c r="E56" s="4" t="s">
        <v>69</v>
      </c>
      <c r="F56" s="3">
        <v>20</v>
      </c>
      <c r="G56" s="5"/>
      <c r="H56" s="3" t="s">
        <v>70</v>
      </c>
      <c r="I56" s="3" t="s">
        <v>71</v>
      </c>
      <c r="J56" s="3"/>
      <c r="K56" s="3" t="s">
        <v>10</v>
      </c>
    </row>
    <row r="57" spans="1:11" x14ac:dyDescent="0.25">
      <c r="A57" s="1">
        <v>12524</v>
      </c>
      <c r="B57" s="2"/>
      <c r="C57" s="3">
        <v>23</v>
      </c>
      <c r="D57" s="10" t="str">
        <f>HYPERLINK("\\repository\server\КЛИЕНТЫ\Bucher\09334\Чертежи\8116170-A.PDF","8116170-A")</f>
        <v>8116170-A</v>
      </c>
      <c r="E57" s="4" t="s">
        <v>69</v>
      </c>
      <c r="F57" s="3">
        <v>20</v>
      </c>
      <c r="G57" s="5"/>
      <c r="H57" s="3" t="s">
        <v>72</v>
      </c>
      <c r="I57" s="3" t="s">
        <v>71</v>
      </c>
      <c r="J57" s="3"/>
      <c r="K57" s="3" t="s">
        <v>10</v>
      </c>
    </row>
    <row r="58" spans="1:11" x14ac:dyDescent="0.25">
      <c r="A58" s="1">
        <v>12524</v>
      </c>
      <c r="B58" s="2"/>
      <c r="C58" s="3">
        <v>27</v>
      </c>
      <c r="D58" s="10" t="str">
        <f>HYPERLINK("\\repository\server\КЛИЕНТЫ\Bucher\Чертежи\8116173-B.pdf","8116173-B")</f>
        <v>8116173-B</v>
      </c>
      <c r="E58" s="4" t="s">
        <v>69</v>
      </c>
      <c r="F58" s="3">
        <v>20</v>
      </c>
      <c r="G58" s="5"/>
      <c r="H58" s="3" t="s">
        <v>73</v>
      </c>
      <c r="I58" s="3" t="s">
        <v>71</v>
      </c>
      <c r="J58" s="3"/>
      <c r="K58" s="3" t="s">
        <v>10</v>
      </c>
    </row>
    <row r="59" spans="1:11" x14ac:dyDescent="0.25">
      <c r="A59" s="1">
        <v>12524</v>
      </c>
      <c r="B59" s="2"/>
      <c r="C59" s="3">
        <v>26</v>
      </c>
      <c r="D59" s="10" t="str">
        <f>HYPERLINK("\\repository\server\КЛИЕНТЫ\Bucher\09334\Чертежи\8116172-A.PDF","8116172-A")</f>
        <v>8116172-A</v>
      </c>
      <c r="E59" s="4" t="s">
        <v>69</v>
      </c>
      <c r="F59" s="3">
        <v>40</v>
      </c>
      <c r="G59" s="5"/>
      <c r="H59" s="3" t="s">
        <v>74</v>
      </c>
      <c r="I59" s="3" t="s">
        <v>71</v>
      </c>
      <c r="J59" s="3"/>
      <c r="K59" s="3" t="s">
        <v>10</v>
      </c>
    </row>
  </sheetData>
  <autoFilter ref="A1:K5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Кольцов</dc:creator>
  <cp:lastModifiedBy>Александр Кольцов</cp:lastModifiedBy>
  <dcterms:created xsi:type="dcterms:W3CDTF">2015-06-05T18:19:34Z</dcterms:created>
  <dcterms:modified xsi:type="dcterms:W3CDTF">2026-08-20T10:49:41Z</dcterms:modified>
</cp:coreProperties>
</file>